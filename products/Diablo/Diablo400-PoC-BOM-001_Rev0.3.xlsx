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OM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<sst xmlns="http://schemas.openxmlformats.org/spreadsheetml/2006/main" count="409" uniqueCount="304">
  <si>
    <t xml:space="preserve">DIABLO 400 PoC — BOM-001 Rev 0.3 — Configuration Assumptions</t>
  </si>
  <si>
    <t xml:space="preserve">Basis: OCP Diablo 400 Base Specification v0.7.0 (Effective March 1, 2026). Single power rack PoC. All pricing ROM (Rough Order of Magnitude), June 2026, budgetary only — confirm with vendor quotes.</t>
  </si>
  <si>
    <t xml:space="preserve">INPUTS (edit blue cells)</t>
  </si>
  <si>
    <t xml:space="preserve">Target rack average DC output (kW)</t>
  </si>
  <si>
    <t xml:space="preserve">Spec §7.3.2 range 800 kW – 1.1 MW (Table 5)</t>
  </si>
  <si>
    <t xml:space="preserve">AC/DC PSU rating (kW)</t>
  </si>
  <si>
    <t xml:space="preserve">Table 10, Solution 2 @ 480 VAC</t>
  </si>
  <si>
    <t xml:space="preserve">PSUs per 2OU power shelf</t>
  </si>
  <si>
    <t xml:space="preserve">Spec §8.2 "various numbers"; 6 matches Delta 108 kW shelf precedent</t>
  </si>
  <si>
    <t xml:space="preserve">Shelf redundancy (+N shelves)</t>
  </si>
  <si>
    <t xml:space="preserve">Designer choice; spec §5 allows redundancy schemes</t>
  </si>
  <si>
    <t xml:space="preserve">DC output cable rating (kW)</t>
  </si>
  <si>
    <t xml:space="preserve">Spec §8.1.3 Option 2: 100 kW / 125 A per cable</t>
  </si>
  <si>
    <t xml:space="preserve">DC PDU module rating (kW)</t>
  </si>
  <si>
    <t xml:space="preserve">Spec §8.1.3: up to 400 kW per Output Protection &amp; Control Module</t>
  </si>
  <si>
    <t xml:space="preserve">AC input voltage (V, 3-phase)</t>
  </si>
  <si>
    <t xml:space="preserve">Table 2, Nominal1</t>
  </si>
  <si>
    <t xml:space="preserve">AC tap / cord rating (A)</t>
  </si>
  <si>
    <t xml:space="preserve">Spec §8.1.1: up to 12x 200 A cords</t>
  </si>
  <si>
    <t xml:space="preserve">End-to-end efficiency @100% load</t>
  </si>
  <si>
    <t xml:space="preserve">Table 9 minimum &gt;97% @ 480 VAC, 50% load; &gt;96.5% @100%</t>
  </si>
  <si>
    <t xml:space="preserve">BBU unit power rating (kW)</t>
  </si>
  <si>
    <t xml:space="preserve">Delta GTC 2026 80 kW embedded BBU class (sampling)</t>
  </si>
  <si>
    <t xml:space="preserve">Contingency on ROM total</t>
  </si>
  <si>
    <t xml:space="preserve">Pre-1.0 spec + sampling hardware = high uncertainty</t>
  </si>
  <si>
    <t xml:space="preserve">DERIVED (formulas — do not edit)</t>
  </si>
  <si>
    <t xml:space="preserve">Power shelf count (incl. +N)</t>
  </si>
  <si>
    <t xml:space="preserve">Shelves to cover target power, plus redundancy</t>
  </si>
  <si>
    <t xml:space="preserve">PSU module count</t>
  </si>
  <si>
    <t xml:space="preserve">Shelves x PSUs per shelf</t>
  </si>
  <si>
    <t xml:space="preserve">Installed shelf capacity (kW)</t>
  </si>
  <si>
    <t xml:space="preserve">Check vs target</t>
  </si>
  <si>
    <t xml:space="preserve">DC output cables (qty)</t>
  </si>
  <si>
    <t xml:space="preserve">100 kW cables to carry target power</t>
  </si>
  <si>
    <t xml:space="preserve">DC PDU modules (qty)</t>
  </si>
  <si>
    <t xml:space="preserve">400 kW modules</t>
  </si>
  <si>
    <t xml:space="preserve">AC tap kVA each</t>
  </si>
  <si>
    <t xml:space="preserve">480 V x 200 A x sqrt(3)</t>
  </si>
  <si>
    <t xml:space="preserve">AC 200 A feeds (qty)</t>
  </si>
  <si>
    <t xml:space="preserve">DC out / efficiency / tap kVA. Spec max 12 (§8.1.1)</t>
  </si>
  <si>
    <t xml:space="preserve">BBU units for 100% load backup (qty)</t>
  </si>
  <si>
    <t xml:space="preserve">Power-matched per §7.2.1.1 (45–90 s @ 100% load). OPTIONAL</t>
  </si>
  <si>
    <t xml:space="preserve">Item</t>
  </si>
  <si>
    <t xml:space="preserve">Description</t>
  </si>
  <si>
    <t xml:space="preserve">Spec Ref</t>
  </si>
  <si>
    <t xml:space="preserve">Vendor / Part Family</t>
  </si>
  <si>
    <t xml:space="preserve">Status</t>
  </si>
  <si>
    <t xml:space="preserve">Qty</t>
  </si>
  <si>
    <t xml:space="preserve">Unit</t>
  </si>
  <si>
    <t xml:space="preserve">ROM Unit ($)</t>
  </si>
  <si>
    <t xml:space="preserve">Ext. ($)</t>
  </si>
  <si>
    <t xml:space="preserve">Lead Time</t>
  </si>
  <si>
    <t xml:space="preserve">Notes / Alternates</t>
  </si>
  <si>
    <t xml:space="preserve">A — RACK MECHANICAL (§6)</t>
  </si>
  <si>
    <t xml:space="preserve">A1</t>
  </si>
  <si>
    <t xml:space="preserve">ORV3 rack frame, 48OU, 21-in, ~2329 mm H x 600 mm W x 1200 mm D</t>
  </si>
  <si>
    <t xml:space="preserve">§6</t>
  </si>
  <si>
    <t xml:space="preserve">Eaton EORV49RU48B / Rittal ORV3 / Legrand / ATEN RC8000</t>
  </si>
  <si>
    <t xml:space="preserve">Production</t>
  </si>
  <si>
    <t xml:space="preserve">ea</t>
  </si>
  <si>
    <t xml:space="preserve">8-12 wk</t>
  </si>
  <si>
    <t xml:space="preserve">Std ORV3 static rating ~1,600 kg (~3,500 lb) — BELOW 6,000 lb spec target. Reinforced/bespoke frame needed for full compliance.</t>
  </si>
  <si>
    <t xml:space="preserve">A2</t>
  </si>
  <si>
    <t xml:space="preserve">Frame reinforcement + custom mods: sliding shelves, blind-mate rails (PSU/BBU/CBU), center-justified busbar mounting</t>
  </si>
  <si>
    <t xml:space="preserve">§6.1</t>
  </si>
  <si>
    <t xml:space="preserve">Custom fab (Rittal/Legrand bespoke or local)</t>
  </si>
  <si>
    <t xml:space="preserve">Custom Fab</t>
  </si>
  <si>
    <t xml:space="preserve">lot</t>
  </si>
  <si>
    <t xml:space="preserve">10-14 wk</t>
  </si>
  <si>
    <t xml:space="preserve">Blind-mate sliding shelf scheme is non-standard vs 48V ORV3 single-busbar layout.</t>
  </si>
  <si>
    <t xml:space="preserve">A3</t>
  </si>
  <si>
    <t xml:space="preserve">Locking safety doors front/rear, partial or full, intrusion switch + emergency shutoff option</t>
  </si>
  <si>
    <t xml:space="preserve">§6.1, §11</t>
  </si>
  <si>
    <t xml:space="preserve">Rack vendor option / custom</t>
  </si>
  <si>
    <t xml:space="preserve">set</t>
  </si>
  <si>
    <t xml:space="preserve">w/ frame</t>
  </si>
  <si>
    <t xml:space="preserve">Door pressure drop must be in fan sizing budget (§10.2).</t>
  </si>
  <si>
    <t xml:space="preserve">A4</t>
  </si>
  <si>
    <t xml:space="preserve">Side panels / airflow containment, front-to-back</t>
  </si>
  <si>
    <t xml:space="preserve">§10.2</t>
  </si>
  <si>
    <t xml:space="preserve">Rack vendor</t>
  </si>
  <si>
    <t xml:space="preserve">A5</t>
  </si>
  <si>
    <t xml:space="preserve">Casters, leveling feet, seismic anchoring kit</t>
  </si>
  <si>
    <t xml:space="preserve">§6, §11</t>
  </si>
  <si>
    <t xml:space="preserve">Stability: no tip-over at 10 deg tilt (§11.1).</t>
  </si>
  <si>
    <t xml:space="preserve">B — AC INPUT &amp; AC PDU (§7.1, §8.1.1, App D)</t>
  </si>
  <si>
    <t xml:space="preserve">B1</t>
  </si>
  <si>
    <t xml:space="preserve">Busway tap-off box, 480 V 3-ph, 200 A, fused</t>
  </si>
  <si>
    <t xml:space="preserve">§15.1</t>
  </si>
  <si>
    <t xml:space="preserve">Starline / PDU Cables UL857 tap box</t>
  </si>
  <si>
    <t xml:space="preserve">6-10 wk</t>
  </si>
  <si>
    <t xml:space="preserve">Tap-box or MTS per App D. Qty derived; spec cap 12x200A.</t>
  </si>
  <si>
    <t xml:space="preserve">B2</t>
  </si>
  <si>
    <t xml:space="preserve">200 A AC whip, 4x1C 3/0 AWG W-type, ~15 m, Molex 1x4 ferrule or lugs</t>
  </si>
  <si>
    <t xml:space="preserve">§15.1, Tbl 14</t>
  </si>
  <si>
    <t xml:space="preserve">Custom assembly (PDU Cables etc.)</t>
  </si>
  <si>
    <t xml:space="preserve">4-8 wk</t>
  </si>
  <si>
    <t xml:space="preserve">Molex 1x4 connector P/N not verified at catalog level — confirm w/ Molex or use lugs.</t>
  </si>
  <si>
    <t xml:space="preserve">B3</t>
  </si>
  <si>
    <t xml:space="preserve">AC PDU panel: up to 12x 200 A inputs, protection fuses, 2-hole lugs or connectorized, output split to shelf feeds (e.g. 200A-&gt;4x50A)</t>
  </si>
  <si>
    <t xml:space="preserve">§8.1.1</t>
  </si>
  <si>
    <t xml:space="preserve">Custom / ODM build (no catalog item)</t>
  </si>
  <si>
    <t xml:space="preserve">12-16 wk</t>
  </si>
  <si>
    <t xml:space="preserve">No purpose-built Diablo AC PDU on market. Assemble from stock fuse blocks + panel, or ODM.</t>
  </si>
  <si>
    <t xml:space="preserve">B4</t>
  </si>
  <si>
    <t xml:space="preserve">Quick-connect input option: SurLok Plus 1 kV, 120-200 A class</t>
  </si>
  <si>
    <t xml:space="preserve">§6.1, App D</t>
  </si>
  <si>
    <t xml:space="preserve">Amphenol SurLok Plus (e.g. SLPPA series)</t>
  </si>
  <si>
    <t xml:space="preserve">stock-4 wk</t>
  </si>
  <si>
    <t xml:space="preserve">Spec names "SurLock" — actual family is SurLok/SurLok Plus. UL1977, RADSOK contacts.</t>
  </si>
  <si>
    <t xml:space="preserve">B5</t>
  </si>
  <si>
    <t xml:space="preserve">AC PDU-to-power-shelf output cables, 60 A or 100 A, 2 AWG W-type</t>
  </si>
  <si>
    <t xml:space="preserve">§8.1.1, §15.1</t>
  </si>
  <si>
    <t xml:space="preserve">Custom assembly</t>
  </si>
  <si>
    <t xml:space="preserve">4-6 wk</t>
  </si>
  <si>
    <t xml:space="preserve">One feed per shelf assumed; connectors per PSU vendor requirement (§8.2).</t>
  </si>
  <si>
    <t xml:space="preserve">C — AC/DC POWER SHELVES &amp; PSUs (§8.2, Tbl 10)</t>
  </si>
  <si>
    <t xml:space="preserve">C1</t>
  </si>
  <si>
    <t xml:space="preserve">Power shelf 2OU, 21-24 in, 3-ph AC in, +/-400 VDC out, droop + active current share, bus clip w/ thermal sensor</t>
  </si>
  <si>
    <t xml:space="preserve">§8.2</t>
  </si>
  <si>
    <t xml:space="preserve">Delta 108 kW HVDC shelf class / Lite-On / Flex</t>
  </si>
  <si>
    <t xml:space="preserve">Sampling</t>
  </si>
  <si>
    <t xml:space="preserve">eval agmt</t>
  </si>
  <si>
    <t xml:space="preserve">CRITICAL LONG-LEAD. Not in distribution — sampling/eval agreement required. ROM estimate only. Load-side target per LVDC WP §3.1: HPR v4 100 kW DC-input shelf (1OU, +39% density vs 72 kW AC HPR v2).</t>
  </si>
  <si>
    <t xml:space="preserve">C2</t>
  </si>
  <si>
    <t xml:space="preserve">AC/DC PSU module, 1OU, 27 kW @480 VAC, +/-400 VDC 3-wire galvanically isolated, hot-swap</t>
  </si>
  <si>
    <t xml:space="preserve">§8.2.1, Tbl 10</t>
  </si>
  <si>
    <t xml:space="preserve">Delta 18.5 kW (GTC26) / Lite-On / Flex — 27 kW class per Tbl 10 Sol.2</t>
  </si>
  <si>
    <t xml:space="preserve">Must meet 410-&gt;400 V droop (10V +/-0.5V), +/-0.5% reg, 150-180% TDP transient, 1 A/us slew, 20 ms holdup (§7.1.3.1, §7.3). No vendor-verified full compliance yet.</t>
  </si>
  <si>
    <t xml:space="preserve">C3</t>
  </si>
  <si>
    <t xml:space="preserve">Shelf control module (Redfish/Modbus PMC)</t>
  </si>
  <si>
    <t xml:space="preserve">§8.2.2, §9</t>
  </si>
  <si>
    <t xml:space="preserve">Advanced Energy ORv3 PMC class / vendor PMC</t>
  </si>
  <si>
    <t xml:space="preserve">MSFT RSCM / Google module are hyperscaler-internal; use vendor PMC for PoC.</t>
  </si>
  <si>
    <t xml:space="preserve">D — +/-400VDC DISTRIBUTION BUSBAR (§8.3)</t>
  </si>
  <si>
    <t xml:space="preserve">D1</t>
  </si>
  <si>
    <t xml:space="preserve">Custom vertical 3-conductor busbar (+400 / COM / -400), full rack height, 1.1 MW, air-cooled, touch-safe covers, center-justified</t>
  </si>
  <si>
    <t xml:space="preserve">§8.3, §6.1</t>
  </si>
  <si>
    <t xml:space="preserve">Storm Power / Methode / Mersen / Rogers ROLINX (custom)</t>
  </si>
  <si>
    <t xml:space="preserve">10-16 wk</t>
  </si>
  <si>
    <t xml:space="preserve">NO catalog 3-conductor +/-400V ORV3 busbar exists. Includes NRE/engineering. Existing ORV3 bars are single-conductor 48 V.</t>
  </si>
  <si>
    <t xml:space="preserve">D2</t>
  </si>
  <si>
    <t xml:space="preserve">Busbar HiPot / insulation test + report (&gt;=2x working voltage)</t>
  </si>
  <si>
    <t xml:space="preserve">§11.1</t>
  </si>
  <si>
    <t xml:space="preserve">Fab shop or test lab</t>
  </si>
  <si>
    <t xml:space="preserve">Service</t>
  </si>
  <si>
    <t xml:space="preserve">w/ busbar</t>
  </si>
  <si>
    <t xml:space="preserve">Stage-gate item before energization.</t>
  </si>
  <si>
    <t xml:space="preserve">E — DC PDU / OUTPUT PROTECTION &amp; CONTROL (§8.1.3)</t>
  </si>
  <si>
    <t xml:space="preserve">E1</t>
  </si>
  <si>
    <t xml:space="preserve">DC PDU module chassis, 400 kW class: enclosure, busbar attach, output connector panel, integration</t>
  </si>
  <si>
    <t xml:space="preserve">§8.1.3</t>
  </si>
  <si>
    <t xml:space="preserve">Custom integration (no catalog item)</t>
  </si>
  <si>
    <t xml:space="preserve">Assembled from E2-E6 components. Delta SiC e-Fuse shown but not catalog.</t>
  </si>
  <si>
    <t xml:space="preserve">E2</t>
  </si>
  <si>
    <t xml:space="preserve">DC fuse, 1000 VDC, 125-160 A class</t>
  </si>
  <si>
    <t xml:space="preserve">§8.1.3, §11.1</t>
  </si>
  <si>
    <t xml:space="preserve">Mersen NH gBat / Eaton Bussmann XL-NH</t>
  </si>
  <si>
    <t xml:space="preserve">stock-6 wk</t>
  </si>
  <si>
    <t xml:space="preserve">2 poles per output cable + spares. IEC 60269-7 battery/PV lines, to 150 kA interrupt. Shelf spec §4.1.1 fixes PDU protection at 2x 80A fuses per 100kW 2-cord shelf — use 80A class per 50kW feed.</t>
  </si>
  <si>
    <t xml:space="preserve">E3</t>
  </si>
  <si>
    <t xml:space="preserve">DC contactor/relay, 800-1000 VDC, 150 A class</t>
  </si>
  <si>
    <t xml:space="preserve">TE Kilovac EV200/ECK / Gigavac GX / Sensata / Panasonic EV</t>
  </si>
  <si>
    <t xml:space="preserve">8-20 wk</t>
  </si>
  <si>
    <t xml:space="preserve">EV-grade. Gigavac lead times reportedly long post-Sensata acquisition — order early.</t>
  </si>
  <si>
    <t xml:space="preserve">E4</t>
  </si>
  <si>
    <t xml:space="preserve">Ground fault detector / insulation monitor w/ voltage-balance detection (HRG midpoint)</t>
  </si>
  <si>
    <t xml:space="preserve">§8.1.4.1.1</t>
  </si>
  <si>
    <t xml:space="preserve">Bender ISOMETER iso685 / isoES425 / iso415R</t>
  </si>
  <si>
    <t xml:space="preserve">Spec requires GFD per output cable for HRG. DESIGN STEER (OCP DCF LVDC WP v1.0 §6.4.1): industry classifies Mt. Diablo as 350/700V Bipolar TN-S w/ distributed M — SOLID midpoint ground, under which GFD is optional per Diablo §8.1.4.2 (~$18K de-scope). Keep &gt;=1 unit for insulation monitoring.</t>
  </si>
  <si>
    <t xml:space="preserve">E5</t>
  </si>
  <si>
    <t xml:space="preserve">Per-output ON/OFF switches, LED indicators, signal wiring, relay drivers</t>
  </si>
  <si>
    <t xml:space="preserve">Stock industrial (panel-mount)</t>
  </si>
  <si>
    <t xml:space="preserve">stock</t>
  </si>
  <si>
    <t xml:space="preserve">Output voltage disconnect before unplug — no live contacts.</t>
  </si>
  <si>
    <t xml:space="preserve">E6</t>
  </si>
  <si>
    <t xml:space="preserve">HRG resistor assembly, midpoint-to-PE, concealed/touch-safe</t>
  </si>
  <si>
    <t xml:space="preserve">§8.1.4.1</t>
  </si>
  <si>
    <t xml:space="preserve">Stock power resistors / custom mount</t>
  </si>
  <si>
    <t xml:space="preserve">2-4 wk</t>
  </si>
  <si>
    <t xml:space="preserve">Only if HRG selected. LVDC WP steer is TN-S solid midpoint bond (zero-ohm) — replaces resistor w/ fault-current-rated bonding jumper per Diablo §8.1.4.2 (easier fault ID, fuse-based clearing).</t>
  </si>
  <si>
    <t xml:space="preserve">E7</t>
  </si>
  <si>
    <t xml:space="preserve">Solid-state circuit breaker (SSCB) / semiconductor-hybrid CB, 800-1000 VDC — ALTERNATE to fuse+contactor per output</t>
  </si>
  <si>
    <t xml:space="preserve">ABB / Siemens / Eaton / Atom Power (UL 489I / IEC 60947-10)</t>
  </si>
  <si>
    <t xml:space="preserve">Optional</t>
  </si>
  <si>
    <t xml:space="preserve">OPTION per LVDC WP §7.2.4.3: us-class clearing, resettable, current-limiting — addresses tens-of-A/us DC fault rise + selectivity. UL 489I new; IEC 60947-10 publishing soon. Qty 0 baseline (fuse+contactor per Diablo spec).</t>
  </si>
  <si>
    <t xml:space="preserve">F — DC OUTPUT CABLES &amp; CONNECTORS (§8.4, App C)</t>
  </si>
  <si>
    <t xml:space="preserve">F1</t>
  </si>
  <si>
    <t xml:space="preserve">100 kW / 125 A output cable assy: 4x 1 AWG W-type single conductors, 5 m, 3W+PE+2 sense, NEC 310.60(C)(4) 65C</t>
  </si>
  <si>
    <t xml:space="preserve">§8.4, §14.1</t>
  </si>
  <si>
    <t xml:space="preserve">Custom assembly (industrial cable house)</t>
  </si>
  <si>
    <t xml:space="preserve">0.1% V-drop budget @ 5 m (§8.4); 15% design margin (App C). INTEROP NOTE: ORV3 HVDC-LVDC 100kW shelf takes 2x 50kW/62.5A cords (not 1x 100kW) — for interop w/ real shelves use Diablo Option 1 (50kW/63A, 4x 4AWG): set Assumptions B10=50, cable qty doubles automatically.</t>
  </si>
  <si>
    <t xml:space="preserve">F2</t>
  </si>
  <si>
    <t xml:space="preserve">HV connector set per cable end: +/-400/COM/PE + 2x LMFB sense, 125 A, latching w/ interlock switch</t>
  </si>
  <si>
    <t xml:space="preserve">§8.4, Tbl 13</t>
  </si>
  <si>
    <t xml:space="preserve">Amphenol SurLok Plus / HVC2P / Voltarius as bridge; FCI 10183400/01-series when released</t>
  </si>
  <si>
    <t xml:space="preserve">CORROBORATED: ORV3 HVDC-LVDC 100kW shelf spec v1.0.0 (released 2/20/26) names mating shelf-side receptacle Amphenol 10184015-002LF — same 1018xxxx FCI family as Diablo Tbl 13 P/Ns. Pinout confirmed: P1=-400V, P2=COM, P3=+400V, P4=PE, S1/S2. Cable-side P/Ns (10183400/01) still need Amphenol ICC RFQ — design-lock the family. DC-Crosslink per LVDC WP Fig.35; UL 2278 MCS remains the standards-backed alternate. Note: shelf spec glossary defines LMFB = Low-Side MOSFET Bridge; PSKILL short pin = hot-swap arc mitigation.</t>
  </si>
  <si>
    <t xml:space="preserve">F3</t>
  </si>
  <si>
    <t xml:space="preserve">Interlock latch switch integration + de-energize logic (SELV within safety time on unplug)</t>
  </si>
  <si>
    <t xml:space="preserve">§8.4</t>
  </si>
  <si>
    <t xml:space="preserve">Custom (w/ E5 relay logic)</t>
  </si>
  <si>
    <t xml:space="preserve">w/ E1</t>
  </si>
  <si>
    <t xml:space="preserve">G — ENERGY STORAGE (§7.2) — OPTIONAL PER SPEC</t>
  </si>
  <si>
    <t xml:space="preserve">G1</t>
  </si>
  <si>
    <t xml:space="preserve">CBU supercapacitor shelf, ~15-20 kW class, UL9540A</t>
  </si>
  <si>
    <t xml:space="preserve">§7.2.2</t>
  </si>
  <si>
    <t xml:space="preserve">Eaton XLHV / Delta Power Capacitance Shelf / Lite-On 20 kW</t>
  </si>
  <si>
    <t xml:space="preserve">Strongest available-now option. LVDC WP role: sub-ms shock absorber for AI load steps, coordinated w/ BBU (CBU=immediate transients, BBU=sustained). Not a 45-90 s ride-through substitute.</t>
  </si>
  <si>
    <t xml:space="preserve">G2</t>
  </si>
  <si>
    <t xml:space="preserve">BBU 4OU, +/-400 V-class, 80 kW, blind-mate, 45-90 s @ 100% load</t>
  </si>
  <si>
    <t xml:space="preserve">§7.2.1</t>
  </si>
  <si>
    <t xml:space="preserve">Delta 80 kW embedded BBU class (GTC 2026)</t>
  </si>
  <si>
    <t xml:space="preserve">OPTIONAL config — full 100% load backup power-match. Sampling only; 48 V ORV3 BBUs are production but wrong voltage class. Defer to Stage 2 unless required.</t>
  </si>
  <si>
    <t xml:space="preserve">H — MANAGEMENT &amp; TELEMETRY (§9, §10.1)</t>
  </si>
  <si>
    <t xml:space="preserve">H1</t>
  </si>
  <si>
    <t xml:space="preserve">Rack management controller, Redfish, Ethernet + CANbus/Modbus internal</t>
  </si>
  <si>
    <t xml:space="preserve">§9.1-9.3</t>
  </si>
  <si>
    <t xml:space="preserve">OpenBMC-based / Advanced Energy PMC / Legrand controller</t>
  </si>
  <si>
    <t xml:space="preserve">Redfish recommended by spec; in-rack comm to all building blocks shall be implemented.</t>
  </si>
  <si>
    <t xml:space="preserve">H2</t>
  </si>
  <si>
    <t xml:space="preserve">Ethernet switch, protocol gateways (CAN/Modbus), comm harnesses</t>
  </si>
  <si>
    <t xml:space="preserve">§9</t>
  </si>
  <si>
    <t xml:space="preserve">Stock industrial</t>
  </si>
  <si>
    <t xml:space="preserve">H3</t>
  </si>
  <si>
    <t xml:space="preserve">Thermal telemetry: inlet/exhaust air temp, component temps, fan tach/fail, busbar-clip thermistors</t>
  </si>
  <si>
    <t xml:space="preserve">§10.1, §8.2</t>
  </si>
  <si>
    <t xml:space="preserve">Vishay NTCALUG54A / TDK B57881S0123F000 / JOYIN JAS103G398FB240001RH</t>
  </si>
  <si>
    <t xml:space="preserve">Bus-clip thermistor parts per ORV3 HVDC-LVDC shelf spec §4.9: 150C min, 2K 0.1% pull-up to 3.3V, one per +/- contact — satisfies Diablo §8.2 bus clip thermal sensor.</t>
  </si>
  <si>
    <t xml:space="preserve">I — SAFETY &amp; COMPLIANCE (§11)</t>
  </si>
  <si>
    <t xml:space="preserve">I1</t>
  </si>
  <si>
    <t xml:space="preserve">NRTL field evaluation (IEC/UL 62368-1 path)</t>
  </si>
  <si>
    <t xml:space="preserve">UL / Intertek / TUV</t>
  </si>
  <si>
    <t xml:space="preserve">12-20 wk</t>
  </si>
  <si>
    <t xml:space="preserve">No listed-product path exists for this class — field eval is the realistic route. Engage early.</t>
  </si>
  <si>
    <t xml:space="preserve">I2</t>
  </si>
  <si>
    <t xml:space="preserve">DC arc-flash study + labeling (+/-400/800 VDC)</t>
  </si>
  <si>
    <t xml:space="preserve">PE consultant</t>
  </si>
  <si>
    <t xml:space="preserve">No DC IEEE 1584 equivalent. Method per LVDC WP §7.6: NFPA 70E Annex D.5 Maximum Power Method (conservative, x3 in-enclosure). Fast clearing keeps IEm well under 1.2 cal/cm2 PPE boundary. NFPA 70 2026 §110.16 permanent labels req. NFPA 70E Art.360: hearing protection where cap energy &gt;100 J (likely w/ CBU). 2029 NEC to formalize — interim OOI + hazard-based risk assessment.</t>
  </si>
  <si>
    <t xml:space="preserve">I3</t>
  </si>
  <si>
    <t xml:space="preserve">EMC pre-scan, CISPR 32/35 Class A</t>
  </si>
  <si>
    <t xml:space="preserve">§11.2</t>
  </si>
  <si>
    <t xml:space="preserve">EMC test lab</t>
  </si>
  <si>
    <t xml:space="preserve">Incl. ESD, surge, radiated immunity per Tbl 12 targets.</t>
  </si>
  <si>
    <t xml:space="preserve">I4</t>
  </si>
  <si>
    <t xml:space="preserve">PPE, 1000 V insulated tools, LOTO hardware</t>
  </si>
  <si>
    <t xml:space="preserve">Stock safety supply</t>
  </si>
  <si>
    <t xml:space="preserve">J — INTEGRATION</t>
  </si>
  <si>
    <t xml:space="preserve">J1</t>
  </si>
  <si>
    <t xml:space="preserve">Integration, assembly, wiring, commissioning &amp; test labor</t>
  </si>
  <si>
    <t xml:space="preserve">—</t>
  </si>
  <si>
    <t xml:space="preserve">In-house / contract</t>
  </si>
  <si>
    <t xml:space="preserve">Protection coordination, GFD commissioning, load-bank validation of droop/transient envelope.</t>
  </si>
  <si>
    <t xml:space="preserve">J2</t>
  </si>
  <si>
    <t xml:space="preserve">Misc hardware, fasteners, labels, consumables</t>
  </si>
  <si>
    <t xml:space="preserve">Stock</t>
  </si>
  <si>
    <t xml:space="preserve">K — PoC LOAD / IT-SIDE VALIDATION</t>
  </si>
  <si>
    <t xml:space="preserve">K1</t>
  </si>
  <si>
    <t xml:space="preserve">DC load bank, +/-400 VDC, 100-250 kW (rental, ~1 month)</t>
  </si>
  <si>
    <t xml:space="preserve">§7.3.3</t>
  </si>
  <si>
    <t xml:space="preserve">Avtron/Simplex DC or electronic DC loads</t>
  </si>
  <si>
    <t xml:space="preserve">Validates droop, regulation and dynamic-load envelope (Tbl 6-8) before any real IT load. Program pulse profiles per Diablo Tbl 7/8.</t>
  </si>
  <si>
    <t xml:space="preserve">K2</t>
  </si>
  <si>
    <t xml:space="preserve">ORV3 HVDC-LVDC 100 kW power shelf, 1OU (6x 18kW slots, 2x HVDC cords) — representative real load</t>
  </si>
  <si>
    <t xml:space="preserve">OCP shelf spec v1.0.0</t>
  </si>
  <si>
    <t xml:space="preserve">Built to Meta OCP spec (released 2/20/2026)</t>
  </si>
  <si>
    <t xml:space="preserve">Ideal end-to-end demo: Diablo rack -&gt; 2x 50kW cords -&gt; shelf -&gt; 48V. Input +/-400 to +/-410 VDC, 2x 62.5A, 537x46.2x867.5mm. &gt;=10 shelves parallel per rack = 1 MW IT rack. Input receptacle Amphenol 10184015-002LF.</t>
  </si>
  <si>
    <t xml:space="preserve">K3</t>
  </si>
  <si>
    <t xml:space="preserve">+/-400V-to-48V 18 kW DC PSU modules (populate K2)</t>
  </si>
  <si>
    <t xml:space="preserve">OCP 18kW PSU spec</t>
  </si>
  <si>
    <t xml:space="preserve">Per Open Rack V3 +/-400V to 48V 18kW PSU spec</t>
  </si>
  <si>
    <t xml:space="preserve">Hot-swap blind-mate; chassis connector Amphenol 10169892-843201SLF. Peak load &lt;=140% &lt;=50ms per shelf spec §4.5.</t>
  </si>
  <si>
    <t xml:space="preserve">K4</t>
  </si>
  <si>
    <t xml:space="preserve">48V resistive load bank for shelf output</t>
  </si>
  <si>
    <t xml:space="preserve">Stock 48V load</t>
  </si>
  <si>
    <t xml:space="preserve">ALL PRICING IS ROM (BUDGETARY) AS OF JUNE 2026 — NOT QUOTED. Yellow-filled costs carry highest uncertainty (sampling hardware, custom NRE, services). Status legend: green=Production (orderable), yellow=Sampling (eval agreement required), red=Custom Fab, blue=Service, purple=Optional per spec.</t>
  </si>
  <si>
    <t xml:space="preserve">DIABLO 400 PoC BOM — Cost Summary (ROM)</t>
  </si>
  <si>
    <t xml:space="preserve">Section</t>
  </si>
  <si>
    <t xml:space="preserve">Ext. Cost ($)</t>
  </si>
  <si>
    <t xml:space="preserve">A</t>
  </si>
  <si>
    <t xml:space="preserve">Rack Mechanical (§6)</t>
  </si>
  <si>
    <t xml:space="preserve">B</t>
  </si>
  <si>
    <t xml:space="preserve">AC Input &amp; AC PDU (§7.1, §8.1.1, App D)</t>
  </si>
  <si>
    <t xml:space="preserve">C</t>
  </si>
  <si>
    <t xml:space="preserve">AC/DC Power Shelves &amp; PSUs (§8.2)</t>
  </si>
  <si>
    <t xml:space="preserve">D</t>
  </si>
  <si>
    <t xml:space="preserve">±400VDC Distribution Busbar (§8.3)</t>
  </si>
  <si>
    <t xml:space="preserve">E</t>
  </si>
  <si>
    <t xml:space="preserve">DC PDU / Output Protection &amp; Control (§8.1.3)</t>
  </si>
  <si>
    <t xml:space="preserve">F</t>
  </si>
  <si>
    <t xml:space="preserve">DC Output Cables &amp; Connectors (§8.4, App C)</t>
  </si>
  <si>
    <t xml:space="preserve">G</t>
  </si>
  <si>
    <t xml:space="preserve">Energy Storage (§7.2) — incl. optional BBU</t>
  </si>
  <si>
    <t xml:space="preserve">H</t>
  </si>
  <si>
    <t xml:space="preserve">Management &amp; Telemetry (§9)</t>
  </si>
  <si>
    <t xml:space="preserve">I</t>
  </si>
  <si>
    <t xml:space="preserve">Safety &amp; Compliance (§11)</t>
  </si>
  <si>
    <t xml:space="preserve">J</t>
  </si>
  <si>
    <t xml:space="preserve">Integration</t>
  </si>
  <si>
    <t xml:space="preserve">K</t>
  </si>
  <si>
    <t xml:space="preserve">PoC Load / IT-side Validation</t>
  </si>
  <si>
    <t xml:space="preserve">Subtotal</t>
  </si>
  <si>
    <t xml:space="preserve">Contingency</t>
  </si>
  <si>
    <t xml:space="preserve">TOTAL (ROM)</t>
  </si>
  <si>
    <t xml:space="preserve">Total excluding optional BBU (G2)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</si>
</sst>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E4DFEC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E4DFEC"/>
      </patternFill>
    </fill>
    <fill>
      <patternFill patternType="solid">
        <fgColor rgb="FFE4DF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</row>
    <row r="5" customFormat="false" ht="15" hidden="false" customHeight="false" outlineLevel="0" collapsed="false">
      <c r="A5" s="3" t="s">
        <v>2</v>
      </c>
      <c r="B5" s="4"/>
      <c r="C5" s="4"/>
      <c r="D5" s="4"/>
    </row>
    <row r="6" customFormat="false" ht="15" hidden="false" customHeight="false" outlineLevel="0" collapsed="false">
      <c r="A6" s="5" t="s">
        <v>3</v>
      </c>
      <c r="B6" s="6" t="n">
        <v>1000</v>
      </c>
      <c r="C6" s="7" t="s">
        <v>4</v>
      </c>
    </row>
    <row r="7" customFormat="false" ht="15" hidden="false" customHeight="false" outlineLevel="0" collapsed="false">
      <c r="A7" s="5" t="s">
        <v>5</v>
      </c>
      <c r="B7" s="6" t="n">
        <v>27</v>
      </c>
      <c r="C7" s="7" t="s">
        <v>6</v>
      </c>
    </row>
    <row r="8" customFormat="false" ht="15" hidden="false" customHeight="false" outlineLevel="0" collapsed="false">
      <c r="A8" s="5" t="s">
        <v>7</v>
      </c>
      <c r="B8" s="6" t="n">
        <v>6</v>
      </c>
      <c r="C8" s="7" t="s">
        <v>8</v>
      </c>
    </row>
    <row r="9" customFormat="false" ht="15" hidden="false" customHeight="false" outlineLevel="0" collapsed="false">
      <c r="A9" s="5" t="s">
        <v>9</v>
      </c>
      <c r="B9" s="6" t="n">
        <v>1</v>
      </c>
      <c r="C9" s="7" t="s">
        <v>10</v>
      </c>
    </row>
    <row r="10" customFormat="false" ht="15" hidden="false" customHeight="false" outlineLevel="0" collapsed="false">
      <c r="A10" s="5" t="s">
        <v>11</v>
      </c>
      <c r="B10" s="6" t="n">
        <v>100</v>
      </c>
      <c r="C10" s="7" t="s">
        <v>12</v>
      </c>
    </row>
    <row r="11" customFormat="false" ht="15" hidden="false" customHeight="false" outlineLevel="0" collapsed="false">
      <c r="A11" s="5" t="s">
        <v>13</v>
      </c>
      <c r="B11" s="6" t="n">
        <v>400</v>
      </c>
      <c r="C11" s="7" t="s">
        <v>14</v>
      </c>
    </row>
    <row r="12" customFormat="false" ht="15" hidden="false" customHeight="false" outlineLevel="0" collapsed="false">
      <c r="A12" s="5" t="s">
        <v>15</v>
      </c>
      <c r="B12" s="6" t="n">
        <v>480</v>
      </c>
      <c r="C12" s="7" t="s">
        <v>16</v>
      </c>
    </row>
    <row r="13" customFormat="false" ht="15" hidden="false" customHeight="false" outlineLevel="0" collapsed="false">
      <c r="A13" s="5" t="s">
        <v>17</v>
      </c>
      <c r="B13" s="6" t="n">
        <v>200</v>
      </c>
      <c r="C13" s="7" t="s">
        <v>18</v>
      </c>
    </row>
    <row r="14" customFormat="false" ht="15" hidden="false" customHeight="false" outlineLevel="0" collapsed="false">
      <c r="A14" s="5" t="s">
        <v>19</v>
      </c>
      <c r="B14" s="8" t="n">
        <v>0.97</v>
      </c>
      <c r="C14" s="7" t="s">
        <v>20</v>
      </c>
    </row>
    <row r="15" customFormat="false" ht="15" hidden="false" customHeight="false" outlineLevel="0" collapsed="false">
      <c r="A15" s="5" t="s">
        <v>21</v>
      </c>
      <c r="B15" s="9" t="n">
        <v>80</v>
      </c>
      <c r="C15" s="7" t="s">
        <v>22</v>
      </c>
    </row>
    <row r="16" customFormat="false" ht="15" hidden="false" customHeight="false" outlineLevel="0" collapsed="false">
      <c r="A16" s="5" t="s">
        <v>23</v>
      </c>
      <c r="B16" s="10" t="n">
        <v>0.15</v>
      </c>
      <c r="C16" s="7" t="s">
        <v>24</v>
      </c>
    </row>
    <row r="17" customFormat="false" ht="15" hidden="false" customHeight="false" outlineLevel="0" collapsed="false">
      <c r="A17" s="3" t="s">
        <v>25</v>
      </c>
      <c r="B17" s="4"/>
      <c r="C17" s="4"/>
      <c r="D17" s="4"/>
    </row>
    <row r="18" customFormat="false" ht="15" hidden="false" customHeight="false" outlineLevel="0" collapsed="false">
      <c r="A18" s="5" t="s">
        <v>26</v>
      </c>
      <c r="B18" s="5" t="n">
        <f aca="false">ROUNDUP(B6/(B7*B8),0)+B9</f>
        <v>8</v>
      </c>
      <c r="C18" s="7" t="s">
        <v>27</v>
      </c>
    </row>
    <row r="19" customFormat="false" ht="15" hidden="false" customHeight="false" outlineLevel="0" collapsed="false">
      <c r="A19" s="5" t="s">
        <v>28</v>
      </c>
      <c r="B19" s="5" t="n">
        <f aca="false">B18*B8</f>
        <v>48</v>
      </c>
      <c r="C19" s="7" t="s">
        <v>29</v>
      </c>
    </row>
    <row r="20" customFormat="false" ht="15" hidden="false" customHeight="false" outlineLevel="0" collapsed="false">
      <c r="A20" s="5" t="s">
        <v>30</v>
      </c>
      <c r="B20" s="5" t="n">
        <f aca="false">B19*B7</f>
        <v>1296</v>
      </c>
      <c r="C20" s="7" t="s">
        <v>31</v>
      </c>
    </row>
    <row r="21" customFormat="false" ht="15" hidden="false" customHeight="false" outlineLevel="0" collapsed="false">
      <c r="A21" s="5" t="s">
        <v>32</v>
      </c>
      <c r="B21" s="5" t="n">
        <f aca="false">ROUNDUP(B6/B10,0)</f>
        <v>10</v>
      </c>
      <c r="C21" s="7" t="s">
        <v>33</v>
      </c>
    </row>
    <row r="22" customFormat="false" ht="15" hidden="false" customHeight="false" outlineLevel="0" collapsed="false">
      <c r="A22" s="5" t="s">
        <v>34</v>
      </c>
      <c r="B22" s="5" t="n">
        <f aca="false">ROUNDUP(B6/B11,0)</f>
        <v>3</v>
      </c>
      <c r="C22" s="7" t="s">
        <v>35</v>
      </c>
    </row>
    <row r="23" customFormat="false" ht="15" hidden="false" customHeight="false" outlineLevel="0" collapsed="false">
      <c r="A23" s="5" t="s">
        <v>36</v>
      </c>
      <c r="B23" s="5" t="n">
        <f aca="false">B12*B13*SQRT(3)/1000</f>
        <v>166.276877526612</v>
      </c>
      <c r="C23" s="7" t="s">
        <v>37</v>
      </c>
    </row>
    <row r="24" customFormat="false" ht="15" hidden="false" customHeight="false" outlineLevel="0" collapsed="false">
      <c r="A24" s="5" t="s">
        <v>38</v>
      </c>
      <c r="B24" s="5" t="n">
        <f aca="false">ROUNDUP(B6/B14/B23,0)</f>
        <v>7</v>
      </c>
      <c r="C24" s="7" t="s">
        <v>39</v>
      </c>
    </row>
    <row r="25" customFormat="false" ht="15" hidden="false" customHeight="false" outlineLevel="0" collapsed="false">
      <c r="A25" s="5" t="s">
        <v>40</v>
      </c>
      <c r="B25" s="5" t="n">
        <f aca="false">ROUNDUP(B6/B15,0)</f>
        <v>13</v>
      </c>
      <c r="C25" s="7" t="s">
        <v>41</v>
      </c>
    </row>
  </sheetData>
  <mergeCells count="1"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56"/>
  </cols>
  <sheetData>
    <row r="1" customFormat="false" ht="15" hidden="false" customHeight="false" outlineLevel="0" collapsed="false">
      <c r="A1" s="11" t="s">
        <v>42</v>
      </c>
      <c r="B1" s="1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  <c r="J1" s="11" t="s">
        <v>51</v>
      </c>
      <c r="K1" s="11" t="s">
        <v>52</v>
      </c>
    </row>
    <row r="2" customFormat="false" ht="15" hidden="false" customHeight="false" outlineLevel="0" collapsed="false">
      <c r="A2" s="12" t="s">
        <v>53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23.85" hidden="false" customHeight="false" outlineLevel="0" collapsed="false">
      <c r="A3" s="13" t="s">
        <v>54</v>
      </c>
      <c r="B3" s="14" t="s">
        <v>55</v>
      </c>
      <c r="C3" s="14" t="s">
        <v>56</v>
      </c>
      <c r="D3" s="14" t="s">
        <v>57</v>
      </c>
      <c r="E3" s="15" t="s">
        <v>58</v>
      </c>
      <c r="F3" s="16" t="n">
        <v>1</v>
      </c>
      <c r="G3" s="14" t="s">
        <v>59</v>
      </c>
      <c r="H3" s="17" t="n">
        <v>8000</v>
      </c>
      <c r="I3" s="18" t="n">
        <f aca="false">F3*H3</f>
        <v>8000</v>
      </c>
      <c r="J3" s="14" t="s">
        <v>60</v>
      </c>
      <c r="K3" s="14" t="s">
        <v>61</v>
      </c>
    </row>
    <row r="4" customFormat="false" ht="35.05" hidden="false" customHeight="false" outlineLevel="0" collapsed="false">
      <c r="A4" s="13" t="s">
        <v>62</v>
      </c>
      <c r="B4" s="14" t="s">
        <v>63</v>
      </c>
      <c r="C4" s="14" t="s">
        <v>64</v>
      </c>
      <c r="D4" s="14" t="s">
        <v>65</v>
      </c>
      <c r="E4" s="19" t="s">
        <v>66</v>
      </c>
      <c r="F4" s="16" t="n">
        <v>1</v>
      </c>
      <c r="G4" s="14" t="s">
        <v>67</v>
      </c>
      <c r="H4" s="20" t="n">
        <v>15000</v>
      </c>
      <c r="I4" s="18" t="n">
        <f aca="false">F4*H4</f>
        <v>15000</v>
      </c>
      <c r="J4" s="14" t="s">
        <v>68</v>
      </c>
      <c r="K4" s="14" t="s">
        <v>69</v>
      </c>
    </row>
    <row r="5" customFormat="false" ht="23.85" hidden="false" customHeight="false" outlineLevel="0" collapsed="false">
      <c r="A5" s="13" t="s">
        <v>70</v>
      </c>
      <c r="B5" s="14" t="s">
        <v>71</v>
      </c>
      <c r="C5" s="14" t="s">
        <v>72</v>
      </c>
      <c r="D5" s="14" t="s">
        <v>73</v>
      </c>
      <c r="E5" s="19" t="s">
        <v>66</v>
      </c>
      <c r="F5" s="16" t="n">
        <v>1</v>
      </c>
      <c r="G5" s="14" t="s">
        <v>74</v>
      </c>
      <c r="H5" s="17" t="n">
        <v>2500</v>
      </c>
      <c r="I5" s="18" t="n">
        <f aca="false">F5*H5</f>
        <v>2500</v>
      </c>
      <c r="J5" s="14" t="s">
        <v>75</v>
      </c>
      <c r="K5" s="14" t="s">
        <v>76</v>
      </c>
    </row>
    <row r="6" customFormat="false" ht="15" hidden="false" customHeight="false" outlineLevel="0" collapsed="false">
      <c r="A6" s="13" t="s">
        <v>77</v>
      </c>
      <c r="B6" s="14" t="s">
        <v>78</v>
      </c>
      <c r="C6" s="14" t="s">
        <v>79</v>
      </c>
      <c r="D6" s="14" t="s">
        <v>80</v>
      </c>
      <c r="E6" s="15" t="s">
        <v>58</v>
      </c>
      <c r="F6" s="16" t="n">
        <v>1</v>
      </c>
      <c r="G6" s="14" t="s">
        <v>74</v>
      </c>
      <c r="H6" s="17" t="n">
        <v>1200</v>
      </c>
      <c r="I6" s="18" t="n">
        <f aca="false">F6*H6</f>
        <v>1200</v>
      </c>
      <c r="J6" s="14" t="s">
        <v>75</v>
      </c>
      <c r="K6" s="14"/>
    </row>
    <row r="7" customFormat="false" ht="15" hidden="false" customHeight="false" outlineLevel="0" collapsed="false">
      <c r="A7" s="13" t="s">
        <v>81</v>
      </c>
      <c r="B7" s="14" t="s">
        <v>82</v>
      </c>
      <c r="C7" s="14" t="s">
        <v>83</v>
      </c>
      <c r="D7" s="14" t="s">
        <v>80</v>
      </c>
      <c r="E7" s="15" t="s">
        <v>58</v>
      </c>
      <c r="F7" s="16" t="n">
        <v>1</v>
      </c>
      <c r="G7" s="14" t="s">
        <v>74</v>
      </c>
      <c r="H7" s="17" t="n">
        <v>800</v>
      </c>
      <c r="I7" s="18" t="n">
        <f aca="false">F7*H7</f>
        <v>800</v>
      </c>
      <c r="J7" s="14" t="s">
        <v>75</v>
      </c>
      <c r="K7" s="14" t="s">
        <v>84</v>
      </c>
    </row>
    <row r="8" customFormat="false" ht="15" hidden="false" customHeight="false" outlineLevel="0" collapsed="false">
      <c r="A8" s="12" t="s">
        <v>85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customFormat="false" ht="15" hidden="false" customHeight="false" outlineLevel="0" collapsed="false">
      <c r="A9" s="13" t="s">
        <v>86</v>
      </c>
      <c r="B9" s="14" t="s">
        <v>87</v>
      </c>
      <c r="C9" s="14" t="s">
        <v>88</v>
      </c>
      <c r="D9" s="14" t="s">
        <v>89</v>
      </c>
      <c r="E9" s="15" t="s">
        <v>58</v>
      </c>
      <c r="F9" s="21" t="n">
        <f aca="false">Assumptions!B24</f>
        <v>7</v>
      </c>
      <c r="G9" s="14" t="s">
        <v>59</v>
      </c>
      <c r="H9" s="17" t="n">
        <v>3500</v>
      </c>
      <c r="I9" s="18" t="n">
        <f aca="false">F9*H9</f>
        <v>24500</v>
      </c>
      <c r="J9" s="14" t="s">
        <v>90</v>
      </c>
      <c r="K9" s="14" t="s">
        <v>91</v>
      </c>
    </row>
    <row r="10" customFormat="false" ht="23.85" hidden="false" customHeight="false" outlineLevel="0" collapsed="false">
      <c r="A10" s="13" t="s">
        <v>92</v>
      </c>
      <c r="B10" s="14" t="s">
        <v>93</v>
      </c>
      <c r="C10" s="14" t="s">
        <v>94</v>
      </c>
      <c r="D10" s="14" t="s">
        <v>95</v>
      </c>
      <c r="E10" s="19" t="s">
        <v>66</v>
      </c>
      <c r="F10" s="21" t="n">
        <f aca="false">Assumptions!B24</f>
        <v>7</v>
      </c>
      <c r="G10" s="14" t="s">
        <v>59</v>
      </c>
      <c r="H10" s="17" t="n">
        <v>2200</v>
      </c>
      <c r="I10" s="18" t="n">
        <f aca="false">F10*H10</f>
        <v>15400</v>
      </c>
      <c r="J10" s="14" t="s">
        <v>96</v>
      </c>
      <c r="K10" s="14" t="s">
        <v>97</v>
      </c>
    </row>
    <row r="11" customFormat="false" ht="35.05" hidden="false" customHeight="false" outlineLevel="0" collapsed="false">
      <c r="A11" s="13" t="s">
        <v>98</v>
      </c>
      <c r="B11" s="14" t="s">
        <v>99</v>
      </c>
      <c r="C11" s="14" t="s">
        <v>100</v>
      </c>
      <c r="D11" s="14" t="s">
        <v>101</v>
      </c>
      <c r="E11" s="19" t="s">
        <v>66</v>
      </c>
      <c r="F11" s="16" t="n">
        <v>1</v>
      </c>
      <c r="G11" s="14" t="s">
        <v>59</v>
      </c>
      <c r="H11" s="20" t="n">
        <v>18000</v>
      </c>
      <c r="I11" s="18" t="n">
        <f aca="false">F11*H11</f>
        <v>18000</v>
      </c>
      <c r="J11" s="14" t="s">
        <v>102</v>
      </c>
      <c r="K11" s="14" t="s">
        <v>103</v>
      </c>
    </row>
    <row r="12" customFormat="false" ht="23.85" hidden="false" customHeight="false" outlineLevel="0" collapsed="false">
      <c r="A12" s="13" t="s">
        <v>104</v>
      </c>
      <c r="B12" s="14" t="s">
        <v>105</v>
      </c>
      <c r="C12" s="14" t="s">
        <v>106</v>
      </c>
      <c r="D12" s="14" t="s">
        <v>107</v>
      </c>
      <c r="E12" s="15" t="s">
        <v>58</v>
      </c>
      <c r="F12" s="16" t="n">
        <v>16</v>
      </c>
      <c r="G12" s="14" t="s">
        <v>59</v>
      </c>
      <c r="H12" s="17" t="n">
        <v>95</v>
      </c>
      <c r="I12" s="18" t="n">
        <f aca="false">F12*H12</f>
        <v>1520</v>
      </c>
      <c r="J12" s="14" t="s">
        <v>108</v>
      </c>
      <c r="K12" s="14" t="s">
        <v>109</v>
      </c>
    </row>
    <row r="13" customFormat="false" ht="23.85" hidden="false" customHeight="false" outlineLevel="0" collapsed="false">
      <c r="A13" s="13" t="s">
        <v>110</v>
      </c>
      <c r="B13" s="14" t="s">
        <v>111</v>
      </c>
      <c r="C13" s="14" t="s">
        <v>112</v>
      </c>
      <c r="D13" s="14" t="s">
        <v>113</v>
      </c>
      <c r="E13" s="19" t="s">
        <v>66</v>
      </c>
      <c r="F13" s="21" t="n">
        <f aca="false">Assumptions!B18</f>
        <v>8</v>
      </c>
      <c r="G13" s="14" t="s">
        <v>59</v>
      </c>
      <c r="H13" s="17" t="n">
        <v>450</v>
      </c>
      <c r="I13" s="18" t="n">
        <f aca="false">F13*H13</f>
        <v>3600</v>
      </c>
      <c r="J13" s="14" t="s">
        <v>114</v>
      </c>
      <c r="K13" s="14" t="s">
        <v>115</v>
      </c>
    </row>
    <row r="14" customFormat="false" ht="15" hidden="false" customHeight="false" outlineLevel="0" collapsed="false">
      <c r="A14" s="12" t="s">
        <v>116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customFormat="false" ht="46.25" hidden="false" customHeight="false" outlineLevel="0" collapsed="false">
      <c r="A15" s="13" t="s">
        <v>117</v>
      </c>
      <c r="B15" s="14" t="s">
        <v>118</v>
      </c>
      <c r="C15" s="14" t="s">
        <v>119</v>
      </c>
      <c r="D15" s="14" t="s">
        <v>120</v>
      </c>
      <c r="E15" s="22" t="s">
        <v>121</v>
      </c>
      <c r="F15" s="21" t="n">
        <f aca="false">Assumptions!B18</f>
        <v>8</v>
      </c>
      <c r="G15" s="14" t="s">
        <v>59</v>
      </c>
      <c r="H15" s="20" t="n">
        <v>4500</v>
      </c>
      <c r="I15" s="18" t="n">
        <f aca="false">F15*H15</f>
        <v>36000</v>
      </c>
      <c r="J15" s="14" t="s">
        <v>122</v>
      </c>
      <c r="K15" s="14" t="s">
        <v>123</v>
      </c>
    </row>
    <row r="16" customFormat="false" ht="35.05" hidden="false" customHeight="false" outlineLevel="0" collapsed="false">
      <c r="A16" s="13" t="s">
        <v>124</v>
      </c>
      <c r="B16" s="14" t="s">
        <v>125</v>
      </c>
      <c r="C16" s="14" t="s">
        <v>126</v>
      </c>
      <c r="D16" s="14" t="s">
        <v>127</v>
      </c>
      <c r="E16" s="22" t="s">
        <v>121</v>
      </c>
      <c r="F16" s="21" t="n">
        <f aca="false">Assumptions!B19</f>
        <v>48</v>
      </c>
      <c r="G16" s="14" t="s">
        <v>59</v>
      </c>
      <c r="H16" s="20" t="n">
        <v>3000</v>
      </c>
      <c r="I16" s="18" t="n">
        <f aca="false">F16*H16</f>
        <v>144000</v>
      </c>
      <c r="J16" s="14" t="s">
        <v>122</v>
      </c>
      <c r="K16" s="14" t="s">
        <v>128</v>
      </c>
    </row>
    <row r="17" customFormat="false" ht="23.85" hidden="false" customHeight="false" outlineLevel="0" collapsed="false">
      <c r="A17" s="13" t="s">
        <v>129</v>
      </c>
      <c r="B17" s="14" t="s">
        <v>130</v>
      </c>
      <c r="C17" s="14" t="s">
        <v>131</v>
      </c>
      <c r="D17" s="14" t="s">
        <v>132</v>
      </c>
      <c r="E17" s="15" t="s">
        <v>58</v>
      </c>
      <c r="F17" s="21" t="n">
        <f aca="false">Assumptions!B18</f>
        <v>8</v>
      </c>
      <c r="G17" s="14" t="s">
        <v>59</v>
      </c>
      <c r="H17" s="17" t="n">
        <v>600</v>
      </c>
      <c r="I17" s="18" t="n">
        <f aca="false">F17*H17</f>
        <v>4800</v>
      </c>
      <c r="J17" s="14" t="s">
        <v>96</v>
      </c>
      <c r="K17" s="14" t="s">
        <v>133</v>
      </c>
    </row>
    <row r="18" customFormat="false" ht="15" hidden="false" customHeight="false" outlineLevel="0" collapsed="false">
      <c r="A18" s="12" t="s">
        <v>134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customFormat="false" ht="35.05" hidden="false" customHeight="false" outlineLevel="0" collapsed="false">
      <c r="A19" s="13" t="s">
        <v>135</v>
      </c>
      <c r="B19" s="14" t="s">
        <v>136</v>
      </c>
      <c r="C19" s="14" t="s">
        <v>137</v>
      </c>
      <c r="D19" s="14" t="s">
        <v>138</v>
      </c>
      <c r="E19" s="19" t="s">
        <v>66</v>
      </c>
      <c r="F19" s="16" t="n">
        <v>1</v>
      </c>
      <c r="G19" s="14" t="s">
        <v>59</v>
      </c>
      <c r="H19" s="20" t="n">
        <v>12000</v>
      </c>
      <c r="I19" s="18" t="n">
        <f aca="false">F19*H19</f>
        <v>12000</v>
      </c>
      <c r="J19" s="14" t="s">
        <v>139</v>
      </c>
      <c r="K19" s="14" t="s">
        <v>140</v>
      </c>
    </row>
    <row r="20" customFormat="false" ht="23.85" hidden="false" customHeight="false" outlineLevel="0" collapsed="false">
      <c r="A20" s="13" t="s">
        <v>141</v>
      </c>
      <c r="B20" s="14" t="s">
        <v>142</v>
      </c>
      <c r="C20" s="14" t="s">
        <v>143</v>
      </c>
      <c r="D20" s="14" t="s">
        <v>144</v>
      </c>
      <c r="E20" s="23" t="s">
        <v>145</v>
      </c>
      <c r="F20" s="16" t="n">
        <v>1</v>
      </c>
      <c r="G20" s="14" t="s">
        <v>67</v>
      </c>
      <c r="H20" s="17" t="n">
        <v>2500</v>
      </c>
      <c r="I20" s="18" t="n">
        <f aca="false">F20*H20</f>
        <v>2500</v>
      </c>
      <c r="J20" s="14" t="s">
        <v>146</v>
      </c>
      <c r="K20" s="14" t="s">
        <v>147</v>
      </c>
    </row>
    <row r="21" customFormat="false" ht="15" hidden="false" customHeight="false" outlineLevel="0" collapsed="false">
      <c r="A21" s="12" t="s">
        <v>148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customFormat="false" ht="23.85" hidden="false" customHeight="false" outlineLevel="0" collapsed="false">
      <c r="A22" s="13" t="s">
        <v>149</v>
      </c>
      <c r="B22" s="14" t="s">
        <v>150</v>
      </c>
      <c r="C22" s="14" t="s">
        <v>151</v>
      </c>
      <c r="D22" s="14" t="s">
        <v>152</v>
      </c>
      <c r="E22" s="19" t="s">
        <v>66</v>
      </c>
      <c r="F22" s="21" t="n">
        <f aca="false">Assumptions!B22</f>
        <v>3</v>
      </c>
      <c r="G22" s="14" t="s">
        <v>59</v>
      </c>
      <c r="H22" s="20" t="n">
        <v>8000</v>
      </c>
      <c r="I22" s="18" t="n">
        <f aca="false">F22*H22</f>
        <v>24000</v>
      </c>
      <c r="J22" s="14" t="s">
        <v>102</v>
      </c>
      <c r="K22" s="14" t="s">
        <v>153</v>
      </c>
    </row>
    <row r="23" customFormat="false" ht="35.05" hidden="false" customHeight="false" outlineLevel="0" collapsed="false">
      <c r="A23" s="13" t="s">
        <v>154</v>
      </c>
      <c r="B23" s="14" t="s">
        <v>155</v>
      </c>
      <c r="C23" s="14" t="s">
        <v>156</v>
      </c>
      <c r="D23" s="14" t="s">
        <v>157</v>
      </c>
      <c r="E23" s="15" t="s">
        <v>58</v>
      </c>
      <c r="F23" s="21" t="n">
        <f aca="false">Assumptions!B21*2+4</f>
        <v>24</v>
      </c>
      <c r="G23" s="14" t="s">
        <v>59</v>
      </c>
      <c r="H23" s="17" t="n">
        <v>85</v>
      </c>
      <c r="I23" s="18" t="n">
        <f aca="false">F23*H23</f>
        <v>2040</v>
      </c>
      <c r="J23" s="14" t="s">
        <v>158</v>
      </c>
      <c r="K23" s="14" t="s">
        <v>159</v>
      </c>
    </row>
    <row r="24" customFormat="false" ht="23.85" hidden="false" customHeight="false" outlineLevel="0" collapsed="false">
      <c r="A24" s="13" t="s">
        <v>160</v>
      </c>
      <c r="B24" s="14" t="s">
        <v>161</v>
      </c>
      <c r="C24" s="14" t="s">
        <v>151</v>
      </c>
      <c r="D24" s="14" t="s">
        <v>162</v>
      </c>
      <c r="E24" s="15" t="s">
        <v>58</v>
      </c>
      <c r="F24" s="21" t="n">
        <f aca="false">Assumptions!B21*2</f>
        <v>20</v>
      </c>
      <c r="G24" s="14" t="s">
        <v>59</v>
      </c>
      <c r="H24" s="17" t="n">
        <v>320</v>
      </c>
      <c r="I24" s="18" t="n">
        <f aca="false">F24*H24</f>
        <v>6400</v>
      </c>
      <c r="J24" s="14" t="s">
        <v>163</v>
      </c>
      <c r="K24" s="14" t="s">
        <v>164</v>
      </c>
    </row>
    <row r="25" customFormat="false" ht="57.45" hidden="false" customHeight="false" outlineLevel="0" collapsed="false">
      <c r="A25" s="13" t="s">
        <v>165</v>
      </c>
      <c r="B25" s="14" t="s">
        <v>166</v>
      </c>
      <c r="C25" s="14" t="s">
        <v>167</v>
      </c>
      <c r="D25" s="14" t="s">
        <v>168</v>
      </c>
      <c r="E25" s="15" t="s">
        <v>58</v>
      </c>
      <c r="F25" s="21" t="n">
        <f aca="false">Assumptions!B21</f>
        <v>10</v>
      </c>
      <c r="G25" s="14" t="s">
        <v>59</v>
      </c>
      <c r="H25" s="17" t="n">
        <v>1800</v>
      </c>
      <c r="I25" s="18" t="n">
        <f aca="false">F25*H25</f>
        <v>18000</v>
      </c>
      <c r="J25" s="14" t="s">
        <v>96</v>
      </c>
      <c r="K25" s="14" t="s">
        <v>169</v>
      </c>
    </row>
    <row r="26" customFormat="false" ht="23.85" hidden="false" customHeight="false" outlineLevel="0" collapsed="false">
      <c r="A26" s="13" t="s">
        <v>170</v>
      </c>
      <c r="B26" s="14" t="s">
        <v>171</v>
      </c>
      <c r="C26" s="14" t="s">
        <v>151</v>
      </c>
      <c r="D26" s="14" t="s">
        <v>172</v>
      </c>
      <c r="E26" s="15" t="s">
        <v>58</v>
      </c>
      <c r="F26" s="16" t="n">
        <v>1</v>
      </c>
      <c r="G26" s="14" t="s">
        <v>67</v>
      </c>
      <c r="H26" s="17" t="n">
        <v>1500</v>
      </c>
      <c r="I26" s="18" t="n">
        <f aca="false">F26*H26</f>
        <v>1500</v>
      </c>
      <c r="J26" s="14" t="s">
        <v>173</v>
      </c>
      <c r="K26" s="14" t="s">
        <v>174</v>
      </c>
    </row>
    <row r="27" customFormat="false" ht="35.05" hidden="false" customHeight="false" outlineLevel="0" collapsed="false">
      <c r="A27" s="13" t="s">
        <v>175</v>
      </c>
      <c r="B27" s="14" t="s">
        <v>176</v>
      </c>
      <c r="C27" s="14" t="s">
        <v>177</v>
      </c>
      <c r="D27" s="14" t="s">
        <v>178</v>
      </c>
      <c r="E27" s="19" t="s">
        <v>66</v>
      </c>
      <c r="F27" s="16" t="n">
        <v>1</v>
      </c>
      <c r="G27" s="14" t="s">
        <v>59</v>
      </c>
      <c r="H27" s="17" t="n">
        <v>400</v>
      </c>
      <c r="I27" s="18" t="n">
        <f aca="false">F27*H27</f>
        <v>400</v>
      </c>
      <c r="J27" s="14" t="s">
        <v>179</v>
      </c>
      <c r="K27" s="14" t="s">
        <v>180</v>
      </c>
    </row>
    <row r="28" customFormat="false" ht="46.25" hidden="false" customHeight="false" outlineLevel="0" collapsed="false">
      <c r="A28" s="13" t="s">
        <v>181</v>
      </c>
      <c r="B28" s="14" t="s">
        <v>182</v>
      </c>
      <c r="C28" s="14" t="s">
        <v>151</v>
      </c>
      <c r="D28" s="14" t="s">
        <v>183</v>
      </c>
      <c r="E28" s="24" t="s">
        <v>184</v>
      </c>
      <c r="F28" s="16" t="n">
        <v>0</v>
      </c>
      <c r="G28" s="14" t="s">
        <v>59</v>
      </c>
      <c r="H28" s="20" t="n">
        <v>4500</v>
      </c>
      <c r="I28" s="18" t="n">
        <f aca="false">F28*H28</f>
        <v>0</v>
      </c>
      <c r="J28" s="14" t="s">
        <v>122</v>
      </c>
      <c r="K28" s="14" t="s">
        <v>185</v>
      </c>
    </row>
    <row r="29" customFormat="false" ht="15" hidden="false" customHeight="false" outlineLevel="0" collapsed="false">
      <c r="A29" s="12" t="s">
        <v>186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customFormat="false" ht="57.45" hidden="false" customHeight="false" outlineLevel="0" collapsed="false">
      <c r="A30" s="13" t="s">
        <v>187</v>
      </c>
      <c r="B30" s="14" t="s">
        <v>188</v>
      </c>
      <c r="C30" s="14" t="s">
        <v>189</v>
      </c>
      <c r="D30" s="14" t="s">
        <v>190</v>
      </c>
      <c r="E30" s="19" t="s">
        <v>66</v>
      </c>
      <c r="F30" s="21" t="n">
        <f aca="false">Assumptions!B21</f>
        <v>10</v>
      </c>
      <c r="G30" s="14" t="s">
        <v>59</v>
      </c>
      <c r="H30" s="17" t="n">
        <v>1400</v>
      </c>
      <c r="I30" s="18" t="n">
        <f aca="false">F30*H30</f>
        <v>14000</v>
      </c>
      <c r="J30" s="14" t="s">
        <v>90</v>
      </c>
      <c r="K30" s="14" t="s">
        <v>191</v>
      </c>
    </row>
    <row r="31" customFormat="false" ht="102.2" hidden="false" customHeight="false" outlineLevel="0" collapsed="false">
      <c r="A31" s="13" t="s">
        <v>192</v>
      </c>
      <c r="B31" s="14" t="s">
        <v>193</v>
      </c>
      <c r="C31" s="14" t="s">
        <v>194</v>
      </c>
      <c r="D31" s="14" t="s">
        <v>195</v>
      </c>
      <c r="E31" s="19" t="s">
        <v>66</v>
      </c>
      <c r="F31" s="21" t="n">
        <f aca="false">Assumptions!B21*2</f>
        <v>20</v>
      </c>
      <c r="G31" s="14" t="s">
        <v>74</v>
      </c>
      <c r="H31" s="17" t="n">
        <v>350</v>
      </c>
      <c r="I31" s="18" t="n">
        <f aca="false">F31*H31</f>
        <v>7000</v>
      </c>
      <c r="J31" s="14" t="s">
        <v>60</v>
      </c>
      <c r="K31" s="14" t="s">
        <v>196</v>
      </c>
    </row>
    <row r="32" customFormat="false" ht="23.85" hidden="false" customHeight="false" outlineLevel="0" collapsed="false">
      <c r="A32" s="13" t="s">
        <v>197</v>
      </c>
      <c r="B32" s="14" t="s">
        <v>198</v>
      </c>
      <c r="C32" s="14" t="s">
        <v>199</v>
      </c>
      <c r="D32" s="14" t="s">
        <v>200</v>
      </c>
      <c r="E32" s="19" t="s">
        <v>66</v>
      </c>
      <c r="F32" s="16" t="n">
        <v>1</v>
      </c>
      <c r="G32" s="14" t="s">
        <v>67</v>
      </c>
      <c r="H32" s="17" t="n">
        <v>2000</v>
      </c>
      <c r="I32" s="18" t="n">
        <f aca="false">F32*H32</f>
        <v>2000</v>
      </c>
      <c r="J32" s="14" t="s">
        <v>201</v>
      </c>
      <c r="K32" s="14"/>
    </row>
    <row r="33" customFormat="false" ht="15" hidden="false" customHeight="false" outlineLevel="0" collapsed="false">
      <c r="A33" s="12" t="s">
        <v>202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customFormat="false" ht="35.05" hidden="false" customHeight="false" outlineLevel="0" collapsed="false">
      <c r="A34" s="13" t="s">
        <v>203</v>
      </c>
      <c r="B34" s="14" t="s">
        <v>204</v>
      </c>
      <c r="C34" s="14" t="s">
        <v>205</v>
      </c>
      <c r="D34" s="14" t="s">
        <v>206</v>
      </c>
      <c r="E34" s="15" t="s">
        <v>58</v>
      </c>
      <c r="F34" s="16" t="n">
        <v>2</v>
      </c>
      <c r="G34" s="14" t="s">
        <v>59</v>
      </c>
      <c r="H34" s="17" t="n">
        <v>7500</v>
      </c>
      <c r="I34" s="18" t="n">
        <f aca="false">F34*H34</f>
        <v>15000</v>
      </c>
      <c r="J34" s="14" t="s">
        <v>60</v>
      </c>
      <c r="K34" s="14" t="s">
        <v>207</v>
      </c>
    </row>
    <row r="35" customFormat="false" ht="35.05" hidden="false" customHeight="false" outlineLevel="0" collapsed="false">
      <c r="A35" s="13" t="s">
        <v>208</v>
      </c>
      <c r="B35" s="14" t="s">
        <v>209</v>
      </c>
      <c r="C35" s="14" t="s">
        <v>210</v>
      </c>
      <c r="D35" s="14" t="s">
        <v>211</v>
      </c>
      <c r="E35" s="24" t="s">
        <v>184</v>
      </c>
      <c r="F35" s="21" t="n">
        <f aca="false">Assumptions!B25</f>
        <v>13</v>
      </c>
      <c r="G35" s="14" t="s">
        <v>59</v>
      </c>
      <c r="H35" s="20" t="n">
        <v>9000</v>
      </c>
      <c r="I35" s="18" t="n">
        <f aca="false">F35*H35</f>
        <v>117000</v>
      </c>
      <c r="J35" s="14" t="s">
        <v>122</v>
      </c>
      <c r="K35" s="14" t="s">
        <v>212</v>
      </c>
    </row>
    <row r="36" customFormat="false" ht="15" hidden="false" customHeight="false" outlineLevel="0" collapsed="false">
      <c r="A36" s="12" t="s">
        <v>213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customFormat="false" ht="23.85" hidden="false" customHeight="false" outlineLevel="0" collapsed="false">
      <c r="A37" s="13" t="s">
        <v>214</v>
      </c>
      <c r="B37" s="14" t="s">
        <v>215</v>
      </c>
      <c r="C37" s="14" t="s">
        <v>216</v>
      </c>
      <c r="D37" s="14" t="s">
        <v>217</v>
      </c>
      <c r="E37" s="15" t="s">
        <v>58</v>
      </c>
      <c r="F37" s="16" t="n">
        <v>1</v>
      </c>
      <c r="G37" s="14" t="s">
        <v>59</v>
      </c>
      <c r="H37" s="17" t="n">
        <v>1200</v>
      </c>
      <c r="I37" s="18" t="n">
        <f aca="false">F37*H37</f>
        <v>1200</v>
      </c>
      <c r="J37" s="14" t="s">
        <v>114</v>
      </c>
      <c r="K37" s="14" t="s">
        <v>218</v>
      </c>
    </row>
    <row r="38" customFormat="false" ht="23.85" hidden="false" customHeight="false" outlineLevel="0" collapsed="false">
      <c r="A38" s="13" t="s">
        <v>219</v>
      </c>
      <c r="B38" s="14" t="s">
        <v>220</v>
      </c>
      <c r="C38" s="14" t="s">
        <v>221</v>
      </c>
      <c r="D38" s="14" t="s">
        <v>222</v>
      </c>
      <c r="E38" s="15" t="s">
        <v>58</v>
      </c>
      <c r="F38" s="16" t="n">
        <v>1</v>
      </c>
      <c r="G38" s="14" t="s">
        <v>67</v>
      </c>
      <c r="H38" s="17" t="n">
        <v>1800</v>
      </c>
      <c r="I38" s="18" t="n">
        <f aca="false">F38*H38</f>
        <v>1800</v>
      </c>
      <c r="J38" s="14" t="s">
        <v>173</v>
      </c>
      <c r="K38" s="14"/>
    </row>
    <row r="39" customFormat="false" ht="35.05" hidden="false" customHeight="false" outlineLevel="0" collapsed="false">
      <c r="A39" s="13" t="s">
        <v>223</v>
      </c>
      <c r="B39" s="14" t="s">
        <v>224</v>
      </c>
      <c r="C39" s="14" t="s">
        <v>225</v>
      </c>
      <c r="D39" s="14" t="s">
        <v>226</v>
      </c>
      <c r="E39" s="15" t="s">
        <v>58</v>
      </c>
      <c r="F39" s="16" t="n">
        <v>1</v>
      </c>
      <c r="G39" s="14" t="s">
        <v>67</v>
      </c>
      <c r="H39" s="17" t="n">
        <v>600</v>
      </c>
      <c r="I39" s="18" t="n">
        <f aca="false">F39*H39</f>
        <v>600</v>
      </c>
      <c r="J39" s="14" t="s">
        <v>173</v>
      </c>
      <c r="K39" s="14" t="s">
        <v>227</v>
      </c>
    </row>
    <row r="40" customFormat="false" ht="15" hidden="false" customHeight="false" outlineLevel="0" collapsed="false">
      <c r="A40" s="12" t="s">
        <v>228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customFormat="false" ht="23.85" hidden="false" customHeight="false" outlineLevel="0" collapsed="false">
      <c r="A41" s="13" t="s">
        <v>229</v>
      </c>
      <c r="B41" s="14" t="s">
        <v>230</v>
      </c>
      <c r="C41" s="14" t="s">
        <v>143</v>
      </c>
      <c r="D41" s="14" t="s">
        <v>231</v>
      </c>
      <c r="E41" s="23" t="s">
        <v>145</v>
      </c>
      <c r="F41" s="16" t="n">
        <v>1</v>
      </c>
      <c r="G41" s="14" t="s">
        <v>67</v>
      </c>
      <c r="H41" s="20" t="n">
        <v>25000</v>
      </c>
      <c r="I41" s="18" t="n">
        <f aca="false">F41*H41</f>
        <v>25000</v>
      </c>
      <c r="J41" s="14" t="s">
        <v>232</v>
      </c>
      <c r="K41" s="14" t="s">
        <v>233</v>
      </c>
    </row>
    <row r="42" customFormat="false" ht="79.85" hidden="false" customHeight="false" outlineLevel="0" collapsed="false">
      <c r="A42" s="13" t="s">
        <v>234</v>
      </c>
      <c r="B42" s="14" t="s">
        <v>235</v>
      </c>
      <c r="C42" s="14" t="s">
        <v>143</v>
      </c>
      <c r="D42" s="14" t="s">
        <v>236</v>
      </c>
      <c r="E42" s="23" t="s">
        <v>145</v>
      </c>
      <c r="F42" s="16" t="n">
        <v>1</v>
      </c>
      <c r="G42" s="14" t="s">
        <v>67</v>
      </c>
      <c r="H42" s="17" t="n">
        <v>8000</v>
      </c>
      <c r="I42" s="18" t="n">
        <f aca="false">F42*H42</f>
        <v>8000</v>
      </c>
      <c r="J42" s="14" t="s">
        <v>90</v>
      </c>
      <c r="K42" s="14" t="s">
        <v>237</v>
      </c>
    </row>
    <row r="43" customFormat="false" ht="15" hidden="false" customHeight="false" outlineLevel="0" collapsed="false">
      <c r="A43" s="13" t="s">
        <v>238</v>
      </c>
      <c r="B43" s="14" t="s">
        <v>239</v>
      </c>
      <c r="C43" s="14" t="s">
        <v>240</v>
      </c>
      <c r="D43" s="14" t="s">
        <v>241</v>
      </c>
      <c r="E43" s="23" t="s">
        <v>145</v>
      </c>
      <c r="F43" s="16" t="n">
        <v>1</v>
      </c>
      <c r="G43" s="14" t="s">
        <v>67</v>
      </c>
      <c r="H43" s="17" t="n">
        <v>12000</v>
      </c>
      <c r="I43" s="18" t="n">
        <f aca="false">F43*H43</f>
        <v>12000</v>
      </c>
      <c r="J43" s="14" t="s">
        <v>60</v>
      </c>
      <c r="K43" s="14" t="s">
        <v>242</v>
      </c>
    </row>
    <row r="44" customFormat="false" ht="15" hidden="false" customHeight="false" outlineLevel="0" collapsed="false">
      <c r="A44" s="13" t="s">
        <v>243</v>
      </c>
      <c r="B44" s="14" t="s">
        <v>244</v>
      </c>
      <c r="C44" s="14" t="s">
        <v>143</v>
      </c>
      <c r="D44" s="14" t="s">
        <v>245</v>
      </c>
      <c r="E44" s="15" t="s">
        <v>58</v>
      </c>
      <c r="F44" s="16" t="n">
        <v>1</v>
      </c>
      <c r="G44" s="14" t="s">
        <v>67</v>
      </c>
      <c r="H44" s="17" t="n">
        <v>3000</v>
      </c>
      <c r="I44" s="18" t="n">
        <f aca="false">F44*H44</f>
        <v>3000</v>
      </c>
      <c r="J44" s="14" t="s">
        <v>173</v>
      </c>
      <c r="K44" s="14"/>
    </row>
    <row r="45" customFormat="false" ht="15" hidden="false" customHeight="false" outlineLevel="0" collapsed="false">
      <c r="A45" s="12" t="s">
        <v>246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customFormat="false" ht="23.85" hidden="false" customHeight="false" outlineLevel="0" collapsed="false">
      <c r="A46" s="13" t="s">
        <v>247</v>
      </c>
      <c r="B46" s="14" t="s">
        <v>248</v>
      </c>
      <c r="C46" s="14" t="s">
        <v>249</v>
      </c>
      <c r="D46" s="14" t="s">
        <v>250</v>
      </c>
      <c r="E46" s="23" t="s">
        <v>145</v>
      </c>
      <c r="F46" s="16" t="n">
        <v>1</v>
      </c>
      <c r="G46" s="14" t="s">
        <v>67</v>
      </c>
      <c r="H46" s="17" t="n">
        <v>35000</v>
      </c>
      <c r="I46" s="18" t="n">
        <f aca="false">F46*H46</f>
        <v>35000</v>
      </c>
      <c r="J46" s="14" t="s">
        <v>249</v>
      </c>
      <c r="K46" s="14" t="s">
        <v>251</v>
      </c>
    </row>
    <row r="47" customFormat="false" ht="15" hidden="false" customHeight="false" outlineLevel="0" collapsed="false">
      <c r="A47" s="13" t="s">
        <v>252</v>
      </c>
      <c r="B47" s="14" t="s">
        <v>253</v>
      </c>
      <c r="C47" s="14" t="s">
        <v>249</v>
      </c>
      <c r="D47" s="14" t="s">
        <v>254</v>
      </c>
      <c r="E47" s="15" t="s">
        <v>58</v>
      </c>
      <c r="F47" s="16" t="n">
        <v>1</v>
      </c>
      <c r="G47" s="14" t="s">
        <v>67</v>
      </c>
      <c r="H47" s="17" t="n">
        <v>2500</v>
      </c>
      <c r="I47" s="18" t="n">
        <f aca="false">F47*H47</f>
        <v>2500</v>
      </c>
      <c r="J47" s="14" t="s">
        <v>173</v>
      </c>
      <c r="K47" s="14"/>
    </row>
    <row r="48" customFormat="false" ht="15" hidden="false" customHeight="false" outlineLevel="0" collapsed="false">
      <c r="A48" s="12" t="s">
        <v>255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customFormat="false" ht="23.85" hidden="false" customHeight="false" outlineLevel="0" collapsed="false">
      <c r="A49" s="13" t="s">
        <v>256</v>
      </c>
      <c r="B49" s="14" t="s">
        <v>257</v>
      </c>
      <c r="C49" s="14" t="s">
        <v>258</v>
      </c>
      <c r="D49" s="14" t="s">
        <v>259</v>
      </c>
      <c r="E49" s="23" t="s">
        <v>145</v>
      </c>
      <c r="F49" s="16" t="n">
        <v>1</v>
      </c>
      <c r="G49" s="14" t="s">
        <v>67</v>
      </c>
      <c r="H49" s="17" t="n">
        <v>12000</v>
      </c>
      <c r="I49" s="18" t="n">
        <f aca="false">F49*H49</f>
        <v>12000</v>
      </c>
      <c r="J49" s="14" t="s">
        <v>96</v>
      </c>
      <c r="K49" s="14" t="s">
        <v>260</v>
      </c>
    </row>
    <row r="50" customFormat="false" ht="46.25" hidden="false" customHeight="false" outlineLevel="0" collapsed="false">
      <c r="A50" s="13" t="s">
        <v>261</v>
      </c>
      <c r="B50" s="14" t="s">
        <v>262</v>
      </c>
      <c r="C50" s="14" t="s">
        <v>263</v>
      </c>
      <c r="D50" s="14" t="s">
        <v>264</v>
      </c>
      <c r="E50" s="22" t="s">
        <v>121</v>
      </c>
      <c r="F50" s="16" t="n">
        <v>1</v>
      </c>
      <c r="G50" s="14" t="s">
        <v>59</v>
      </c>
      <c r="H50" s="20" t="n">
        <v>6000</v>
      </c>
      <c r="I50" s="18" t="n">
        <f aca="false">F50*H50</f>
        <v>6000</v>
      </c>
      <c r="J50" s="14" t="s">
        <v>122</v>
      </c>
      <c r="K50" s="14" t="s">
        <v>265</v>
      </c>
    </row>
    <row r="51" customFormat="false" ht="23.85" hidden="false" customHeight="false" outlineLevel="0" collapsed="false">
      <c r="A51" s="13" t="s">
        <v>266</v>
      </c>
      <c r="B51" s="14" t="s">
        <v>267</v>
      </c>
      <c r="C51" s="14" t="s">
        <v>268</v>
      </c>
      <c r="D51" s="14" t="s">
        <v>269</v>
      </c>
      <c r="E51" s="22" t="s">
        <v>121</v>
      </c>
      <c r="F51" s="16" t="n">
        <v>6</v>
      </c>
      <c r="G51" s="14" t="s">
        <v>59</v>
      </c>
      <c r="H51" s="20" t="n">
        <v>1500</v>
      </c>
      <c r="I51" s="18" t="n">
        <f aca="false">F51*H51</f>
        <v>9000</v>
      </c>
      <c r="J51" s="14" t="s">
        <v>122</v>
      </c>
      <c r="K51" s="14" t="s">
        <v>270</v>
      </c>
    </row>
    <row r="52" customFormat="false" ht="15" hidden="false" customHeight="false" outlineLevel="0" collapsed="false">
      <c r="A52" s="13" t="s">
        <v>271</v>
      </c>
      <c r="B52" s="14" t="s">
        <v>272</v>
      </c>
      <c r="C52" s="14" t="s">
        <v>249</v>
      </c>
      <c r="D52" s="14" t="s">
        <v>273</v>
      </c>
      <c r="E52" s="15" t="s">
        <v>58</v>
      </c>
      <c r="F52" s="16" t="n">
        <v>1</v>
      </c>
      <c r="G52" s="14" t="s">
        <v>67</v>
      </c>
      <c r="H52" s="17" t="n">
        <v>3000</v>
      </c>
      <c r="I52" s="18" t="n">
        <f aca="false">F52*H52</f>
        <v>3000</v>
      </c>
      <c r="J52" s="14" t="s">
        <v>179</v>
      </c>
      <c r="K52" s="14"/>
    </row>
    <row r="54" customFormat="false" ht="30" hidden="false" customHeight="true" outlineLevel="0" collapsed="false">
      <c r="A54" s="25" t="s">
        <v>274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</row>
  </sheetData>
  <mergeCells count="12">
    <mergeCell ref="A2:K2"/>
    <mergeCell ref="A8:K8"/>
    <mergeCell ref="A14:K14"/>
    <mergeCell ref="A18:K18"/>
    <mergeCell ref="A21:K21"/>
    <mergeCell ref="A29:K29"/>
    <mergeCell ref="A33:K33"/>
    <mergeCell ref="A36:K36"/>
    <mergeCell ref="A40:K40"/>
    <mergeCell ref="A45:K45"/>
    <mergeCell ref="A48:K48"/>
    <mergeCell ref="A54:K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275</v>
      </c>
    </row>
    <row r="3" customFormat="false" ht="15" hidden="false" customHeight="false" outlineLevel="0" collapsed="false">
      <c r="A3" s="26" t="s">
        <v>276</v>
      </c>
      <c r="B3" s="26" t="s">
        <v>43</v>
      </c>
      <c r="C3" s="26" t="s">
        <v>277</v>
      </c>
    </row>
    <row r="4" customFormat="false" ht="15" hidden="false" customHeight="false" outlineLevel="0" collapsed="false">
      <c r="A4" s="27" t="s">
        <v>278</v>
      </c>
      <c r="B4" s="28" t="s">
        <v>279</v>
      </c>
      <c r="C4" s="29" t="n">
        <f aca="false">SUM(BOM!I3:I7)</f>
        <v>27500</v>
      </c>
    </row>
    <row r="5" customFormat="false" ht="15" hidden="false" customHeight="false" outlineLevel="0" collapsed="false">
      <c r="A5" s="27" t="s">
        <v>280</v>
      </c>
      <c r="B5" s="28" t="s">
        <v>281</v>
      </c>
      <c r="C5" s="29" t="n">
        <f aca="false">SUM(BOM!I9:I13)</f>
        <v>63020</v>
      </c>
    </row>
    <row r="6" customFormat="false" ht="15" hidden="false" customHeight="false" outlineLevel="0" collapsed="false">
      <c r="A6" s="27" t="s">
        <v>282</v>
      </c>
      <c r="B6" s="28" t="s">
        <v>283</v>
      </c>
      <c r="C6" s="29" t="n">
        <f aca="false">SUM(BOM!I15:I17)</f>
        <v>184800</v>
      </c>
    </row>
    <row r="7" customFormat="false" ht="15" hidden="false" customHeight="false" outlineLevel="0" collapsed="false">
      <c r="A7" s="27" t="s">
        <v>284</v>
      </c>
      <c r="B7" s="28" t="s">
        <v>285</v>
      </c>
      <c r="C7" s="29" t="n">
        <f aca="false">SUM(BOM!I19:I20)</f>
        <v>14500</v>
      </c>
    </row>
    <row r="8" customFormat="false" ht="15" hidden="false" customHeight="false" outlineLevel="0" collapsed="false">
      <c r="A8" s="27" t="s">
        <v>286</v>
      </c>
      <c r="B8" s="28" t="s">
        <v>287</v>
      </c>
      <c r="C8" s="29" t="n">
        <f aca="false">SUM(BOM!I22:I28)</f>
        <v>52340</v>
      </c>
    </row>
    <row r="9" customFormat="false" ht="15" hidden="false" customHeight="false" outlineLevel="0" collapsed="false">
      <c r="A9" s="27" t="s">
        <v>288</v>
      </c>
      <c r="B9" s="28" t="s">
        <v>289</v>
      </c>
      <c r="C9" s="29" t="n">
        <f aca="false">SUM(BOM!I30:I32)</f>
        <v>23000</v>
      </c>
    </row>
    <row r="10" customFormat="false" ht="15" hidden="false" customHeight="false" outlineLevel="0" collapsed="false">
      <c r="A10" s="27" t="s">
        <v>290</v>
      </c>
      <c r="B10" s="28" t="s">
        <v>291</v>
      </c>
      <c r="C10" s="29" t="n">
        <f aca="false">SUM(BOM!I34:I35)</f>
        <v>132000</v>
      </c>
    </row>
    <row r="11" customFormat="false" ht="15" hidden="false" customHeight="false" outlineLevel="0" collapsed="false">
      <c r="A11" s="27" t="s">
        <v>292</v>
      </c>
      <c r="B11" s="28" t="s">
        <v>293</v>
      </c>
      <c r="C11" s="29" t="n">
        <f aca="false">SUM(BOM!I37:I39)</f>
        <v>3600</v>
      </c>
    </row>
    <row r="12" customFormat="false" ht="15" hidden="false" customHeight="false" outlineLevel="0" collapsed="false">
      <c r="A12" s="27" t="s">
        <v>294</v>
      </c>
      <c r="B12" s="28" t="s">
        <v>295</v>
      </c>
      <c r="C12" s="29" t="n">
        <f aca="false">SUM(BOM!I41:I44)</f>
        <v>48000</v>
      </c>
    </row>
    <row r="13" customFormat="false" ht="15" hidden="false" customHeight="false" outlineLevel="0" collapsed="false">
      <c r="A13" s="27" t="s">
        <v>296</v>
      </c>
      <c r="B13" s="28" t="s">
        <v>297</v>
      </c>
      <c r="C13" s="29" t="n">
        <f aca="false">SUM(BOM!I46:I47)</f>
        <v>37500</v>
      </c>
    </row>
    <row r="14" customFormat="false" ht="15" hidden="false" customHeight="false" outlineLevel="0" collapsed="false">
      <c r="A14" s="27" t="s">
        <v>298</v>
      </c>
      <c r="B14" s="28" t="s">
        <v>299</v>
      </c>
      <c r="C14" s="29" t="n">
        <f aca="false">SUM(BOM!I49:I52)</f>
        <v>30000</v>
      </c>
    </row>
    <row r="15" customFormat="false" ht="15" hidden="false" customHeight="false" outlineLevel="0" collapsed="false">
      <c r="B15" s="30" t="s">
        <v>300</v>
      </c>
      <c r="C15" s="31" t="n">
        <f aca="false">SUM(C4:C14)</f>
        <v>616260</v>
      </c>
    </row>
    <row r="16" customFormat="false" ht="15" hidden="false" customHeight="false" outlineLevel="0" collapsed="false">
      <c r="B16" s="5" t="s">
        <v>301</v>
      </c>
      <c r="C16" s="29" t="n">
        <f aca="false">C15*Assumptions!B16</f>
        <v>92439</v>
      </c>
    </row>
    <row r="17" customFormat="false" ht="15" hidden="false" customHeight="false" outlineLevel="0" collapsed="false">
      <c r="B17" s="30" t="s">
        <v>302</v>
      </c>
      <c r="C17" s="32" t="n">
        <f aca="false">C15+C16</f>
        <v>708699</v>
      </c>
    </row>
    <row r="19" customFormat="false" ht="15" hidden="false" customHeight="false" outlineLevel="0" collapsed="false">
      <c r="B19" s="5" t="s">
        <v>303</v>
      </c>
      <c r="C19" s="31" t="n">
        <f aca="false">C17-SUMIF(BOM!A:A,"G2",BOM!I:I)*(1+Assumptions!B16)</f>
        <v>574149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2026-06-12T03:46:50Z</dcterms:created>
  <dc:creator>openpyxl</dc:creator>
  <dc:description/>
  <dc:language>en-US</dc:language>
  <cp:lastModifiedBy/>
  <dcterms:modified xsi:type="dcterms:W3CDTF">2026-06-12T03:46:50Z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